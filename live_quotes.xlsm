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workbookPr defaultThemeVersion="166925"/>
  <mc:AlternateContent xmlns:mc="http://schemas.openxmlformats.org/markup-compatibility/2006">
    <mc:Choice Requires="x15">
      <x15ac:absPath xmlns:x15ac="http://schemas.microsoft.com/office/spreadsheetml/2010/11/ac" url="C:\Users\agul\Documents\animated-waddle\"/>
    </mc:Choice>
  </mc:AlternateContent>
  <xr:revisionPtr revIDLastSave="0" documentId="8_{7B2B5BED-0C50-4132-B463-DDCD9858B118}" xr6:coauthVersionLast="40" xr6:coauthVersionMax="40" xr10:uidLastSave="{00000000-0000-0000-0000-000000000000}"/>
  <bookViews>
    <workbookView xWindow="0" yWindow="0" windowWidth="17256" windowHeight="5568" xr2:uid="{DF740583-95C1-4850-8C26-8A3E73F5C74C}"/>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 i="1" l="1"/>
  <c r="D2" i="1"/>
  <c r="C2"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2"/>
        </ext>
      </extLst>
    </bk>
  </futureMetadata>
  <valueMetadata count="1">
    <bk>
      <rc t="1" v="0"/>
    </bk>
  </valueMetadata>
</metadata>
</file>

<file path=xl/sharedStrings.xml><?xml version="1.0" encoding="utf-8"?>
<sst xmlns="http://schemas.openxmlformats.org/spreadsheetml/2006/main"/>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9" formatCode="_([$$-409]* #,##0.00_);_([$$-409]* \(#,##0.00\);_([$$-409]* &quot;-&quot;??_);_(@_)"/>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69" fontId="0" fillId="0" borderId="0" xfId="0" applyNumberFormat="1"/>
    <xf numFmtId="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https://www.bing.com/th?id=AMMS_8e31d52bb9ea27bdda26200517d4b1d1&amp;qlt=95</v>
    <v>https://www.bing.com/images/search?form=xlimg&amp;q=tesla+motors</v>
    <v>Image of Tesla Inc</v>
  </rv>
  <rv s="1">
    <v>en-US</v>
    <v>a24kar</v>
    <v>268435456</v>
    <v>268435457</v>
    <v>1</v>
    <v>0</v>
    <v>Tesla Inc</v>
    <v>3</v>
    <v>4</v>
    <v>Finance</v>
    <v>5</v>
    <v>387.46</v>
    <v>244.59010000000001</v>
    <v>0.59056699999999995</v>
    <v>Mr. Elon Musk</v>
    <v>-17.59</v>
    <v>-5.2828E-2</v>
    <v>USD</v>
    <v>Founded in 2003 and based in Palo Alto, California, Tesla is a vertically integrated sustainable energy company that also aims to transition the world to electric mobility by making electric vehicles. It sells solar panels and solar roofs for energy generation plus batteries for stationary storage for residential and commercial properties including utilities. The Tesla Roadster debuted in 2008, Model S in 2012, Model X in 2015, and Model 3 in 2017. Global deliveries in 2017 were 103,184 units. Tesla went public in 2010 and employs about 40,000 people.</v>
    <v>37543</v>
    <v>NASDAQ</v>
    <v>NAS</v>
    <v>126</v>
    <v>3500 Deer Creek Road, Palo Alto, CA 94304 USA</v>
    <v>330.29</v>
    <v>0</v>
    <v>Auto Manufacturers</v>
    <v>Stock</v>
    <v>43455.431018517971</v>
    <v>19</v>
    <v>311.86900000000003</v>
    <v>54161082579.5</v>
    <v>Tesla Inc</v>
    <v>327.05349999999999</v>
    <v>-80.645161000000002</v>
    <v>332.97</v>
    <v>315.38</v>
    <v>Powered by Morningstar</v>
    <v>162660547.73553199</v>
    <v>TSLA</v>
    <v>Tesla Inc (NAS)</v>
    <v>1837</v>
    <v>3809137.28125</v>
    <v>2003</v>
  </rv>
  <rv s="2">
    <v>1</v>
  </rv>
</rvData>
</file>

<file path=xl/richData/rdrichvaluestructure.xml><?xml version="1.0" encoding="utf-8"?>
<rvStructures xmlns="http://schemas.microsoft.com/office/spreadsheetml/2017/richdata" count="3">
  <s t="_imageurl">
    <k n="Address" t="s"/>
    <k n="More Images Address" t="s"/>
    <k n="Text" t="s"/>
  </s>
  <s t="_linkedentitycore">
    <k n="%EntityCulture" t="s"/>
    <k n="%EntityId" t="s"/>
    <k n="%EntityServiceId"/>
    <k n="%EntitySubDomainId"/>
    <k n="%IsRefreshable" t="b"/>
    <k n="_Display" t="spb"/>
    <k n="_DisplayString" t="s"/>
    <k n="_Flags" t="spb"/>
    <k n="_Format" t="spb"/>
    <k n="_Icon" t="s"/>
    <k n="_SubLabel" t="spb"/>
    <k n="52 week high"/>
    <k n="52 week low"/>
    <k n="Beta"/>
    <k n="CEO" t="s"/>
    <k n="Change"/>
    <k n="Change (%)"/>
    <k n="Currency" t="s"/>
    <k n="Description" t="s"/>
    <k n="Employees"/>
    <k n="Exchange" t="s"/>
    <k n="Exchange abbreviation" t="s"/>
    <k n="ExchangeID" t="s"/>
    <k n="Headquarters" t="s"/>
    <k n="High"/>
    <k n="Image" t="r"/>
    <k n="Industry" t="s"/>
    <k n="Instrument type" t="s"/>
    <k n="Last trade time"/>
    <k n="LiveExchangeID" t="s"/>
    <k n="Low"/>
    <k n="Market cap"/>
    <k n="Name" t="s"/>
    <k n="Open"/>
    <k n="P/E"/>
    <k n="Previous close"/>
    <k n="Price"/>
    <k n="Provider" t="s"/>
    <k n="Shares outstanding"/>
    <k n="Ticker symbol" t="s"/>
    <k n="UniqueName" t="s"/>
    <k n="Volume"/>
    <k n="Volume average"/>
    <k n="Year founded"/>
  </s>
  <s t="_linkedentity">
    <k n="%cvi" t="r"/>
  </s>
</rvStructures>
</file>

<file path=xl/richData/rdsupportingpropertybag.xml><?xml version="1.0" encoding="utf-8"?>
<supportingPropertyBags xmlns="http://schemas.microsoft.com/office/spreadsheetml/2017/richdata2">
  <spbArrays count="1">
    <a count="44">
      <v t="s">%EntityServiceId</v>
      <v t="s">_Format</v>
      <v t="s">%EntitySubDomainId</v>
      <v t="s">_Icon</v>
      <v t="s">%EntityCulture</v>
      <v t="s">%IsRefreshable</v>
      <v t="s">%EntityId</v>
      <v t="s">Name</v>
      <v t="s">_DisplayString</v>
      <v t="s">_SubLabel</v>
      <v t="s">Price</v>
      <v t="s">Exchange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CEO</v>
      <v t="s">Description</v>
      <v t="s">Employees</v>
      <v t="s">Headquarters</v>
      <v t="s">Industry</v>
      <v t="s">Instrument type</v>
      <v t="s">Year founded</v>
      <v t="s">_Flags</v>
      <v t="s">ExchangeID</v>
      <v t="s">UniqueName</v>
      <v t="s">Image</v>
      <v t="s">LiveExchangeID</v>
      <v t="s">Provider</v>
      <v t="s">_Display</v>
    </a>
  </spbArrays>
  <spbData count="6">
    <spb s="0">
      <v>0</v>
    </spb>
    <spb s="1">
      <v>0</v>
      <v>0</v>
    </spb>
    <spb s="2">
      <v>0</v>
      <v>0</v>
      <v>0</v>
    </spb>
    <spb s="3">
      <v>1</v>
      <v>2</v>
      <v>2</v>
      <v>2</v>
      <v>2</v>
    </spb>
    <spb s="4">
      <v>1</v>
      <v>2</v>
      <v>2</v>
      <v>1</v>
      <v>3</v>
      <v>1</v>
      <v>4</v>
      <v>1</v>
      <v>1</v>
      <v>5</v>
      <v>5</v>
      <v>6</v>
      <v>7</v>
      <v>1</v>
      <v>1</v>
      <v>8</v>
      <v>1</v>
      <v>5</v>
      <v>9</v>
      <v>10</v>
      <v>11</v>
      <v>11</v>
      <v>5</v>
    </spb>
    <spb s="5">
      <v>Delayed 15 minutes</v>
      <v>from previous close</v>
      <v>from previous close</v>
      <v>Source: NASDAQ</v>
      <v>GMT</v>
    </spb>
  </spbData>
</supportingPropertyBags>
</file>

<file path=xl/richData/rdsupportingpropertybagstructure.xml><?xml version="1.0" encoding="utf-8"?>
<spbStructures xmlns="http://schemas.microsoft.com/office/spreadsheetml/2017/richdata2" count="6">
  <s>
    <k n="^Order" t="spba"/>
  </s>
  <s>
    <k n="ShowInDotNotation" t="b"/>
    <k n="ShowInAutoComplete" t="b"/>
  </s>
  <s>
    <k n="ShowInCardView" t="b"/>
    <k n="ShowInDotNotation" t="b"/>
    <k n="ShowInAutoComplete" t="b"/>
  </s>
  <s>
    <k n="Image" t="spb"/>
    <k n="Provider" t="spb"/>
    <k n="ExchangeID" t="spb"/>
    <k n="UniqueName" t="spb"/>
    <k n="LiveExchangeID" t="spb"/>
  </s>
  <s>
    <k n="Low" t="i"/>
    <k n="P/E" t="i"/>
    <k n="Beta" t="i"/>
    <k n="High" t="i"/>
    <k n="Name" t="i"/>
    <k n="Open" t="i"/>
    <k n="Image" t="i"/>
    <k n="Price" t="i"/>
    <k n="Change" t="i"/>
    <k n="Volume" t="i"/>
    <k n="Employees" t="i"/>
    <k n="Change (%)" t="i"/>
    <k n="Market cap" t="i"/>
    <k n="52 week low" t="i"/>
    <k n="52 week high" t="i"/>
    <k n="Year founded" t="i"/>
    <k n="Previous close" t="i"/>
    <k n="Volume average" t="i"/>
    <k n="_DisplayString" t="i"/>
    <k n="Last trade time" t="i"/>
    <k n="%EntityServiceId" t="i"/>
    <k n="%EntitySubDomain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9" formatCode="_([$$-409]* #,##0.00_);_([$$-409]* \(#,##0.00\);_([$$-409]* &quot;-&quot;??_);_(@_)"/>
    </x:dxf>
    <x:dxf>
      <x:numFmt numFmtId="4" formatCode="#,##0.00"/>
    </x:dxf>
    <x:dxf>
      <x:numFmt numFmtId="3" formatCode="#,##0"/>
    </x:dxf>
    <x:dxf>
      <x:numFmt numFmtId="14" formatCode="0.00%"/>
    </x:dxf>
    <x:dxf>
      <x:numFmt numFmtId="168" formatCode="_([$$-409]* #,##0_);_([$$-409]* \(#,##0\);_([$$-409]* &quot;-&quot;_);_(@_)"/>
    </x:dxf>
    <x:dxf>
      <x:numFmt numFmtId="1" formatCode="0"/>
    </x:dxf>
    <x:dxf>
      <x:numFmt numFmtId="27" formatCode="m/d/yyyy\ h:mm"/>
    </x:dxf>
    <x:dxf>
      <x:numFmt numFmtId="2" formatCode="0.00"/>
    </x:dxf>
  </dxfs>
  <richProperties>
    <rPr n="IsTitleField" t="b"/>
    <rPr n="IsHeroField" t="b"/>
    <rPr n="ShouldShowInCell" t="b"/>
  </richProperties>
  <richStyles>
    <rSty dxfid="0"/>
    <rSty dxfid="1"/>
    <rSty>
      <rpv i="0">1</rpv>
    </rSty>
    <rSty>
      <rpv i="1">1</rpv>
    </rSty>
    <rSty dxfid="2"/>
    <rSty dxfid="3"/>
    <rSty dxfid="4"/>
    <rSty dxfid="5"/>
    <rSty>
      <rpv i="2">1</rpv>
    </rSty>
    <rSty dxfid="6"/>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A1C12-643E-49EC-8A82-AA6E8AFCA80D}">
  <dimension ref="B2:G2"/>
  <sheetViews>
    <sheetView tabSelected="1" workbookViewId="0">
      <selection activeCell="B2" sqref="B2"/>
    </sheetView>
  </sheetViews>
  <sheetFormatPr defaultRowHeight="14.4" x14ac:dyDescent="0.3"/>
  <sheetData>
    <row r="2" spans="2:7" x14ac:dyDescent="0.3">
      <c r="B2" t="e" vm="1">
        <v>#VALUE!</v>
      </c>
      <c r="C2" s="1">
        <f>_FV(B2,"52 week high",TRUE)</f>
        <v>387.46</v>
      </c>
      <c r="D2" s="1">
        <f>_FV(B2,"52 week low",TRUE)</f>
        <v>244.59010000000001</v>
      </c>
      <c r="E2" s="2">
        <f>_FV(B2,"Beta")</f>
        <v>0.59056699999999995</v>
      </c>
      <c r="G2"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agul</dc:creator>
  <cp:lastModifiedBy>agul</cp:lastModifiedBy>
  <dcterms:created xsi:type="dcterms:W3CDTF">2018-12-21T10:37:32Z</dcterms:created>
  <dcterms:modified xsi:type="dcterms:W3CDTF">2018-12-21T10:40:19Z</dcterms:modified>
</cp:coreProperties>
</file>